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yril\AppData\Roaming\Claude\local-agent-mode-sessions\6ce05a31-2f20-4fa7-871b-189ac71f2a91\ebee6a69-1eb1-4fad-8efb-f933103175f8\local_67b4868f-01ad-4b70-a7d6-22d9abf714ea\outputs\"/>
    </mc:Choice>
  </mc:AlternateContent>
  <xr:revisionPtr revIDLastSave="0" documentId="13_ncr:1_{F94D23D7-722D-4CAE-A558-A579BB2FF2EA}" xr6:coauthVersionLast="47" xr6:coauthVersionMax="47" xr10:uidLastSave="{00000000-0000-0000-0000-000000000000}"/>
  <bookViews>
    <workbookView xWindow="28680" yWindow="-120" windowWidth="38640" windowHeight="21120" tabRatio="500" xr2:uid="{00000000-000D-0000-FFFF-FFFF00000000}"/>
  </bookViews>
  <sheets>
    <sheet name="Douyin DP One-Pager" sheetId="1" r:id="rId1"/>
  </sheets>
  <definedNames>
    <definedName name="_xlnm.Print_Area" localSheetId="0">'Douyin DP One-Pager'!$A$1:$G$51</definedName>
    <definedName name="_xlnm.Print_Titles" localSheetId="0">'Douyin DP One-Pager'!$1:$2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6" i="1" l="1"/>
  <c r="B42" i="1"/>
  <c r="F41" i="1"/>
  <c r="E41" i="1"/>
  <c r="B41" i="1"/>
  <c r="B40" i="1"/>
  <c r="F28" i="1"/>
  <c r="E28" i="1"/>
  <c r="F24" i="1"/>
  <c r="E24" i="1"/>
  <c r="F23" i="1"/>
  <c r="E23" i="1"/>
  <c r="F22" i="1"/>
  <c r="E22" i="1"/>
  <c r="F21" i="1"/>
  <c r="E21" i="1"/>
  <c r="F19" i="1"/>
  <c r="E19" i="1"/>
  <c r="F18" i="1"/>
  <c r="E18" i="1"/>
  <c r="F16" i="1"/>
  <c r="F25" i="1" s="1"/>
  <c r="E25" i="1"/>
  <c r="F15" i="1"/>
  <c r="E15" i="1"/>
  <c r="F14" i="1"/>
  <c r="E14" i="1"/>
  <c r="F11" i="1"/>
  <c r="E11" i="1"/>
  <c r="F10" i="1"/>
  <c r="E10" i="1"/>
  <c r="F9" i="1"/>
  <c r="E9" i="1"/>
  <c r="F8" i="1"/>
  <c r="E8" i="1"/>
  <c r="B8" i="1"/>
  <c r="F7" i="1"/>
  <c r="F12" i="1" s="1"/>
  <c r="E7" i="1"/>
  <c r="E12" i="1" s="1"/>
  <c r="F26" i="1" l="1"/>
  <c r="F40" i="1" s="1"/>
  <c r="E26" i="1"/>
  <c r="E40" i="1" s="1"/>
  <c r="E17" i="1"/>
  <c r="F17" i="1"/>
  <c r="E27" i="1" l="1"/>
  <c r="F27" i="1"/>
  <c r="E29" i="1" l="1"/>
  <c r="E42" i="1"/>
  <c r="E30" i="1"/>
  <c r="E39" i="1"/>
  <c r="F42" i="1"/>
  <c r="F29" i="1"/>
  <c r="F39" i="1"/>
  <c r="F30" i="1"/>
</calcChain>
</file>

<file path=xl/sharedStrings.xml><?xml version="1.0" encoding="utf-8"?>
<sst xmlns="http://schemas.openxmlformats.org/spreadsheetml/2006/main" count="112" uniqueCount="106">
  <si>
    <t xml:space="preserve">  Langnese × Douyin — Cost to Set Up &amp; Run (Honey · CBEC · DP model)</t>
  </si>
  <si>
    <r>
      <rPr>
        <i/>
        <sz val="9"/>
        <color rgb="FF595959"/>
        <rFont val="Arial"/>
        <charset val="1"/>
      </rPr>
      <t>Cross-border (</t>
    </r>
    <r>
      <rPr>
        <i/>
        <sz val="9"/>
        <color rgb="FF595959"/>
        <rFont val="DejaVu Sans"/>
        <family val="2"/>
      </rPr>
      <t>抖音全球购</t>
    </r>
    <r>
      <rPr>
        <i/>
        <sz val="9"/>
        <color rgb="FF595959"/>
        <rFont val="Arial"/>
        <charset val="1"/>
      </rPr>
      <t>) via a Distributor Partner that owns the team and runs Douyin only. All figures in RMB unless stated. Blue cells are editable inputs. Sources: 36 Chinese-web references (May 2026).</t>
    </r>
  </si>
  <si>
    <t xml:space="preserve"> 1. INPUTS (edit blue cells)</t>
  </si>
  <si>
    <t xml:space="preserve"> 2. COST STACK — Scenario A vs Scenario B</t>
  </si>
  <si>
    <t>── Channel scale</t>
  </si>
  <si>
    <t>Cost item</t>
  </si>
  <si>
    <t>Scenario A (ROAS 1.5x)</t>
  </si>
  <si>
    <t>Scenario B (ROAS 3.0x)</t>
  </si>
  <si>
    <t>Source / note</t>
  </si>
  <si>
    <t>Target Year 1 GMV (RMB)</t>
  </si>
  <si>
    <t>SETUP — one-time (Year 1)</t>
  </si>
  <si>
    <t>Average order value (RMB)</t>
  </si>
  <si>
    <t>Platform deposit (refundable)</t>
  </si>
  <si>
    <t>Refundable on store closure</t>
  </si>
  <si>
    <t>Implied orders / year</t>
  </si>
  <si>
    <t>Bonded warehouse deposit (refundable WC)</t>
  </si>
  <si>
    <r>
      <rPr>
        <sz val="10"/>
        <color rgb="FF000000"/>
        <rFont val="Arial"/>
        <charset val="1"/>
      </rPr>
      <t xml:space="preserve">Source: </t>
    </r>
    <r>
      <rPr>
        <sz val="10"/>
        <color rgb="FF000000"/>
        <rFont val="DejaVu Sans"/>
        <family val="2"/>
      </rPr>
      <t xml:space="preserve">货之家 </t>
    </r>
    <r>
      <rPr>
        <sz val="10"/>
        <color rgb="FF000000"/>
        <rFont val="Arial"/>
        <charset val="1"/>
      </rPr>
      <t xml:space="preserve">/ </t>
    </r>
    <r>
      <rPr>
        <sz val="10"/>
        <color rgb="FF000000"/>
        <rFont val="DejaVu Sans"/>
        <family val="2"/>
      </rPr>
      <t>卓志保税仓</t>
    </r>
  </si>
  <si>
    <t>── FX &amp; tax</t>
  </si>
  <si>
    <t>Bonded warehouse tax prepayment (WC)</t>
  </si>
  <si>
    <t>Drawn down as shipments enter</t>
  </si>
  <si>
    <t>USD / RMB exchange rate</t>
  </si>
  <si>
    <t>CN trademark registration</t>
  </si>
  <si>
    <t>Class 30; one-time</t>
  </si>
  <si>
    <t>VAT on agency / China services</t>
  </si>
  <si>
    <t>Brand setup contribution (store / launch content)</t>
  </si>
  <si>
    <t>Banner, listing, hero shoot</t>
  </si>
  <si>
    <t>CBEC comprehensive tax (honey, bonded)</t>
  </si>
  <si>
    <t xml:space="preserve">  Subtotal setup</t>
  </si>
  <si>
    <t>Includes refundable working capital</t>
  </si>
  <si>
    <t>── Platform &amp; DP arrangement</t>
  </si>
  <si>
    <t>OPERATING — annual (Year 1)</t>
  </si>
  <si>
    <r>
      <rPr>
        <sz val="10"/>
        <color rgb="FF000000"/>
        <rFont val="Arial"/>
        <charset val="1"/>
      </rPr>
      <t xml:space="preserve">Douyin </t>
    </r>
    <r>
      <rPr>
        <sz val="10"/>
        <color rgb="FF000000"/>
        <rFont val="DejaVu Sans"/>
        <family val="2"/>
      </rPr>
      <t xml:space="preserve">全球购 </t>
    </r>
    <r>
      <rPr>
        <sz val="10"/>
        <color rgb="FF000000"/>
        <rFont val="Arial"/>
        <charset val="1"/>
      </rPr>
      <t>platform deposit (refundable)</t>
    </r>
  </si>
  <si>
    <r>
      <rPr>
        <sz val="10"/>
        <color rgb="FF000000"/>
        <rFont val="Arial"/>
        <charset val="1"/>
      </rPr>
      <t xml:space="preserve">Mainland </t>
    </r>
    <r>
      <rPr>
        <sz val="10"/>
        <color rgb="FF000000"/>
        <rFont val="DejaVu Sans"/>
        <family val="2"/>
      </rPr>
      <t xml:space="preserve">境内代理人 </t>
    </r>
    <r>
      <rPr>
        <sz val="10"/>
        <color rgb="FF000000"/>
        <rFont val="Arial"/>
        <charset val="1"/>
      </rPr>
      <t>(annual)</t>
    </r>
  </si>
  <si>
    <t>Required for CBEC</t>
  </si>
  <si>
    <t>Tech service fee (CBEC food/health)</t>
  </si>
  <si>
    <t>Brand marketing co-fund to DP</t>
  </si>
  <si>
    <t>DP runs its own team; this is Langnese's joint-fund</t>
  </si>
  <si>
    <r>
      <rPr>
        <sz val="10"/>
        <color rgb="FF000000"/>
        <rFont val="Arial"/>
        <charset val="1"/>
      </rPr>
      <t xml:space="preserve">Mainland </t>
    </r>
    <r>
      <rPr>
        <sz val="10"/>
        <color rgb="FF000000"/>
        <rFont val="DejaVu Sans"/>
        <family val="2"/>
      </rPr>
      <t xml:space="preserve">境内代理人 </t>
    </r>
    <r>
      <rPr>
        <sz val="10"/>
        <color rgb="FF000000"/>
        <rFont val="Arial"/>
        <charset val="1"/>
      </rPr>
      <t>annual fee</t>
    </r>
  </si>
  <si>
    <r>
      <rPr>
        <sz val="10"/>
        <color rgb="FF000000"/>
        <rFont val="Arial"/>
        <charset val="1"/>
      </rPr>
      <t>Paid media (</t>
    </r>
    <r>
      <rPr>
        <sz val="10"/>
        <color rgb="FF000000"/>
        <rFont val="DejaVu Sans"/>
        <family val="2"/>
      </rPr>
      <t xml:space="preserve">千川 </t>
    </r>
    <r>
      <rPr>
        <sz val="10"/>
        <color rgb="FF000000"/>
        <rFont val="Arial"/>
        <charset val="1"/>
      </rPr>
      <t>Qianchuan) spend</t>
    </r>
  </si>
  <si>
    <t>(GMV × paid share) ÷ ROAS. CPM ~RMB 28–45.</t>
  </si>
  <si>
    <t>CN trademark registration (one-time)</t>
  </si>
  <si>
    <t>Ad-buying service fee (% of media spend)</t>
  </si>
  <si>
    <t>If DP outsources Qianchuan buying</t>
  </si>
  <si>
    <t>KOL commission (food/agri rate)</t>
  </si>
  <si>
    <r>
      <rPr>
        <sz val="10"/>
        <color rgb="FF000000"/>
        <rFont val="Arial"/>
        <charset val="1"/>
      </rPr>
      <t xml:space="preserve">Commission-only. Source: </t>
    </r>
    <r>
      <rPr>
        <sz val="10"/>
        <color rgb="FF000000"/>
        <rFont val="DejaVu Sans"/>
        <family val="2"/>
      </rPr>
      <t xml:space="preserve">与辉同行 农产品 </t>
    </r>
    <r>
      <rPr>
        <sz val="10"/>
        <color rgb="FF000000"/>
        <rFont val="Arial"/>
        <charset val="1"/>
      </rPr>
      <t>8–10%</t>
    </r>
  </si>
  <si>
    <t>Brand marketing co-fund to DP (annual)</t>
  </si>
  <si>
    <t>Platform tech service fee</t>
  </si>
  <si>
    <t>4% for CBEC health food</t>
  </si>
  <si>
    <t>── KOL / influencer (commission-only model)</t>
  </si>
  <si>
    <t xml:space="preserve"> — Logistics — </t>
  </si>
  <si>
    <t>Share of GMV via KOL livestream / video</t>
  </si>
  <si>
    <t>Bonded warehouse storage</t>
  </si>
  <si>
    <t>Orders × storage × 2 mo avg dwell</t>
  </si>
  <si>
    <r>
      <rPr>
        <sz val="10"/>
        <color rgb="FF000000"/>
        <rFont val="Arial"/>
        <charset val="1"/>
      </rPr>
      <t xml:space="preserve">KOL commission % (food / </t>
    </r>
    <r>
      <rPr>
        <sz val="10"/>
        <color rgb="FF000000"/>
        <rFont val="DejaVu Sans"/>
        <family val="2"/>
      </rPr>
      <t>农产品</t>
    </r>
    <r>
      <rPr>
        <sz val="10"/>
        <color rgb="FF000000"/>
        <rFont val="Arial"/>
        <charset val="1"/>
      </rPr>
      <t>)</t>
    </r>
  </si>
  <si>
    <t>Last-mile shipping</t>
  </si>
  <si>
    <t>Orders × shipping/parcel</t>
  </si>
  <si>
    <t>── Bonded logistics</t>
  </si>
  <si>
    <t>Returns handling</t>
  </si>
  <si>
    <t>Orders × return rate × cost</t>
  </si>
  <si>
    <t>CBEC comprehensive import tax (11.2% on GMV)</t>
  </si>
  <si>
    <t>13% VAT × 70% on retail value</t>
  </si>
  <si>
    <t>VAT 6% on China services (agent + co-fund + tech + ad-buy)</t>
  </si>
  <si>
    <t>Charged on top of all China service fees</t>
  </si>
  <si>
    <t>Warehouse storage RMB/unit/month</t>
  </si>
  <si>
    <t xml:space="preserve">  Subtotal operating</t>
  </si>
  <si>
    <t>Annual; KOL commissions are variable</t>
  </si>
  <si>
    <t>Last-mile shipping RMB/parcel</t>
  </si>
  <si>
    <t>TOTAL Year 1 (RMB)</t>
  </si>
  <si>
    <t>Setup + Operating</t>
  </si>
  <si>
    <t>Return rate (food / CBEC)</t>
  </si>
  <si>
    <t xml:space="preserve">  Of which refundable (deposits + WC)</t>
  </si>
  <si>
    <t>Recoverable on exit</t>
  </si>
  <si>
    <t>Return handling cost RMB/parcel</t>
  </si>
  <si>
    <t xml:space="preserve">  Net sunk cost (non-refundable)</t>
  </si>
  <si>
    <t>Real cash burn Year 1</t>
  </si>
  <si>
    <t>── Media — TWO ROAS scenarios</t>
  </si>
  <si>
    <t>TOTAL Year 1 (USD)</t>
  </si>
  <si>
    <t>@ FX in B10</t>
  </si>
  <si>
    <t>Share of GMV driven by paid media</t>
  </si>
  <si>
    <t>Scenario A — Conservative ROAS</t>
  </si>
  <si>
    <t>Scenario B — Optimistic ROAS</t>
  </si>
  <si>
    <t xml:space="preserve"> 3. CHANNEL ECONOMICS — fill in Langnese gross margin</t>
  </si>
  <si>
    <t>KPI</t>
  </si>
  <si>
    <t>Scenario A</t>
  </si>
  <si>
    <t>Scenario B</t>
  </si>
  <si>
    <t>Note</t>
  </si>
  <si>
    <t>LANGNESE GROSS MARGIN % (fill in)</t>
  </si>
  <si>
    <t>Total cost as % of GMV</t>
  </si>
  <si>
    <t>Burn vs revenue</t>
  </si>
  <si>
    <t>Implied gross profit on Y1 GMV</t>
  </si>
  <si>
    <t>Operating cost as % of GMV</t>
  </si>
  <si>
    <t>Excl. setup; compare to GM%</t>
  </si>
  <si>
    <t>Contribution Scenario A (GP − total cost)</t>
  </si>
  <si>
    <t>Breakeven GMV — Scenario A</t>
  </si>
  <si>
    <t>GMV needed so GP covers full Y1 cost</t>
  </si>
  <si>
    <t>Contribution Scenario B (GP − total cost)</t>
  </si>
  <si>
    <t>Cost per order</t>
  </si>
  <si>
    <t>Compare to AOV</t>
  </si>
  <si>
    <t xml:space="preserve"> 4. KEY NOTES</t>
  </si>
  <si>
    <r>
      <rPr>
        <sz val="10"/>
        <color rgb="FF000000"/>
        <rFont val="Arial"/>
        <charset val="1"/>
      </rPr>
      <t xml:space="preserve">• Honey is on the CBEC Positive List but bonded-warehouse only — direct mail is prohibited. Source: </t>
    </r>
    <r>
      <rPr>
        <sz val="10"/>
        <color rgb="FF000000"/>
        <rFont val="DejaVu Sans"/>
        <family val="2"/>
      </rPr>
      <t>国务院 正面清单</t>
    </r>
    <r>
      <rPr>
        <sz val="10"/>
        <color rgb="FF000000"/>
        <rFont val="Arial"/>
        <charset val="1"/>
      </rPr>
      <t>, 2022. Hence bonded WH deposit + tax prepay are unavoidable.</t>
    </r>
  </si>
  <si>
    <t>• DP runs Douyin only; their team cost is recovered through the wholesale margin they take on Langnese product — not modelled here. Brand marketing co-fund is the typical brand-side cash contribution.</t>
  </si>
  <si>
    <t>• Scenario A (ROAS 1.5x) is the realistic months 1–6 number for a new brand on Douyin (BBG quote, validated). Scenario B (ROAS 3.0x) is the realistic months 7–12+ once algorithm warms up.</t>
  </si>
  <si>
    <t>• Platform deposit RMB 50K is the food/health flagship base. Under the Feb 2025 reform, qualified merchants can enter at RMB 500 — worth requesting with the DP.</t>
  </si>
  <si>
    <t>• VAT 6% applies to all China service fees (agent, marketing co-fund, ad-buying, platform tech fee). CBEC tax 11.2% applies to GMV (13% VAT × 70%, no consumption tax on honey).</t>
  </si>
  <si>
    <r>
      <rPr>
        <sz val="10"/>
        <color rgb="FF000000"/>
        <rFont val="Arial"/>
        <charset val="1"/>
      </rPr>
      <t>• KOL commission 12% assumes the agricultural-product rate (</t>
    </r>
    <r>
      <rPr>
        <sz val="10"/>
        <color rgb="FF000000"/>
        <rFont val="DejaVu Sans"/>
        <family val="2"/>
      </rPr>
      <t xml:space="preserve">与辉同行 </t>
    </r>
    <r>
      <rPr>
        <sz val="10"/>
        <color rgb="FF000000"/>
        <rFont val="Arial"/>
        <charset val="1"/>
      </rPr>
      <t xml:space="preserve">/ </t>
    </r>
    <r>
      <rPr>
        <sz val="10"/>
        <color rgb="FF000000"/>
        <rFont val="DejaVu Sans"/>
        <family val="2"/>
      </rPr>
      <t xml:space="preserve">东方甄选 </t>
    </r>
    <r>
      <rPr>
        <sz val="10"/>
        <color rgb="FF000000"/>
        <rFont val="Arial"/>
        <charset val="1"/>
      </rPr>
      <t>model 8–10%, mid-tier food 15–20%, blend ~12%). Pure-commission model, no pit fee.</t>
    </r>
  </si>
  <si>
    <t>• Year 1 is investment in any scenario at RMB 2M GMV. Use 'Breakeven GMV' to see what scale is needed to cover full Y1 cost from gross profit. If 'GM too low' appears, gross margin must rise to cover operating costs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</si>
</sst>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Red]_-\¥* \(#,##0\)_-;_-\¥* \-_-;_-@_-"/>
    <numFmt numFmtId="165" formatCode="#,##0;\(#,##0\);\-"/>
    <numFmt numFmtId="166" formatCode="0.000"/>
    <numFmt numFmtId="167" formatCode="0.0%;[Red]\(0.0%\);\-"/>
    <numFmt numFmtId="168" formatCode="_-\$* #,##0_-;[Red]_-\$* \(#,##0\)_-;_-\$* \-_-;_-@_-"/>
    <numFmt numFmtId="169" formatCode="0.0\x"/>
    <numFmt numFmtId="170" formatCode="0.0%;[Red]\(0.0%\);_-* &quot;fill in&quot;_-;_-@_-"/>
  </numFmts>
  <fonts count="10">
    <font>
      <sz val="11"/>
      <color theme="1"/>
      <name val="Calibri"/>
      <family val="2"/>
      <charset val="1"/>
    </font>
    <font>
      <b/>
      <sz val="16"/>
      <color rgb="FFFFFFFF"/>
      <name val="Arial"/>
      <charset val="1"/>
    </font>
    <font>
      <i/>
      <sz val="9"/>
      <color rgb="FF595959"/>
      <name val="Arial"/>
      <charset val="1"/>
    </font>
    <font>
      <i/>
      <sz val="9"/>
      <color rgb="FF595959"/>
      <name val="DejaVu Sans"/>
      <family val="2"/>
    </font>
    <font>
      <b/>
      <sz val="10"/>
      <color rgb="FFFFFFFF"/>
      <name val="Arial"/>
      <charset val="1"/>
    </font>
    <font>
      <b/>
      <sz val="10"/>
      <color rgb="FF000000"/>
      <name val="Arial"/>
      <charset val="1"/>
    </font>
    <font>
      <b/>
      <sz val="10"/>
      <color rgb="FF0000FF"/>
      <name val="Arial"/>
      <charset val="1"/>
    </font>
    <font>
      <sz val="10"/>
      <color rgb="FF000000"/>
      <name val="Arial"/>
      <charset val="1"/>
    </font>
    <font>
      <sz val="10"/>
      <color rgb="FF0000FF"/>
      <name val="Arial"/>
      <charset val="1"/>
    </font>
    <font>
      <sz val="10"/>
      <color rgb="FF000000"/>
      <name val="DejaVu Sans"/>
      <family val="2"/>
    </font>
  </fonts>
  <fills count="10">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F2F2F2"/>
        <bgColor rgb="FFFFFCE6"/>
      </patternFill>
    </fill>
    <fill>
      <patternFill patternType="solid">
        <fgColor rgb="FFFFF2CC"/>
        <bgColor rgb="FFFFFCE6"/>
      </patternFill>
    </fill>
    <fill>
      <patternFill patternType="solid">
        <fgColor rgb="FFFFFCE6"/>
        <bgColor rgb="FFFFFFFF"/>
      </patternFill>
    </fill>
    <fill>
      <patternFill patternType="solid">
        <fgColor rgb="FFD9E1F2"/>
        <bgColor rgb="FFF2F2F2"/>
      </patternFill>
    </fill>
    <fill>
      <patternFill patternType="solid">
        <fgColor rgb="FFFFE699"/>
        <bgColor rgb="FFFFF2CC"/>
      </patternFill>
    </fill>
    <fill>
      <patternFill patternType="solid">
        <fgColor rgb="FFF4B084"/>
        <bgColor rgb="FFFF99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7" fillId="0" borderId="0" xfId="0" applyFont="1" applyAlignment="1">
      <alignment horizontal="left" vertical="top" wrapText="1"/>
    </xf>
    <xf numFmtId="0" fontId="5" fillId="0" borderId="0" xfId="0" applyFont="1" applyAlignment="1">
      <alignment horizontal="left" vertical="center" wrapText="1"/>
    </xf>
    <xf numFmtId="0" fontId="5" fillId="4" borderId="0" xfId="0" applyFont="1" applyFill="1" applyAlignment="1">
      <alignment horizontal="left" vertical="center" wrapText="1"/>
    </xf>
    <xf numFmtId="0" fontId="5" fillId="4" borderId="0" xfId="0" applyFont="1" applyFill="1"/>
    <xf numFmtId="0" fontId="4" fillId="3" borderId="0" xfId="0" applyFont="1" applyFill="1" applyAlignment="1">
      <alignment horizontal="left" vertical="center" wrapText="1"/>
    </xf>
    <xf numFmtId="0" fontId="2" fillId="0" borderId="0" xfId="0" applyFont="1" applyAlignment="1">
      <alignment horizontal="left" vertical="center" wrapText="1"/>
    </xf>
    <xf numFmtId="0" fontId="1" fillId="2" borderId="0" xfId="0" applyFont="1" applyFill="1" applyAlignment="1">
      <alignment horizontal="left" vertical="center" wrapText="1"/>
    </xf>
    <xf numFmtId="0" fontId="4" fillId="3" borderId="0" xfId="0" applyFont="1" applyFill="1" applyAlignment="1">
      <alignment horizontal="left" vertical="center" wrapText="1"/>
    </xf>
    <xf numFmtId="0" fontId="5" fillId="4" borderId="0" xfId="0" applyFont="1" applyFill="1"/>
    <xf numFmtId="0" fontId="4" fillId="3" borderId="0" xfId="0" applyFont="1" applyFill="1" applyAlignment="1">
      <alignment horizontal="center" vertical="center" wrapText="1"/>
    </xf>
    <xf numFmtId="0" fontId="5" fillId="0" borderId="0" xfId="0" applyFont="1" applyAlignment="1">
      <alignment horizontal="left" vertical="center" wrapText="1"/>
    </xf>
    <xf numFmtId="164" fontId="6" fillId="5" borderId="1" xfId="0" applyNumberFormat="1" applyFont="1" applyFill="1" applyBorder="1" applyAlignment="1">
      <alignment horizontal="right" vertical="center"/>
    </xf>
    <xf numFmtId="0" fontId="5" fillId="4" borderId="0" xfId="0" applyFont="1" applyFill="1" applyAlignment="1">
      <alignment horizontal="left" vertical="center" wrapText="1"/>
    </xf>
    <xf numFmtId="0" fontId="7" fillId="0" borderId="0" xfId="0" applyFont="1" applyAlignment="1">
      <alignment horizontal="left" vertical="center" wrapText="1"/>
    </xf>
    <xf numFmtId="164" fontId="8" fillId="6" borderId="1" xfId="0" applyNumberFormat="1" applyFont="1" applyFill="1" applyBorder="1" applyAlignment="1">
      <alignment horizontal="right" vertical="center"/>
    </xf>
    <xf numFmtId="164" fontId="7" fillId="0" borderId="1" xfId="0" applyNumberFormat="1" applyFont="1" applyBorder="1" applyAlignment="1">
      <alignment horizontal="right" vertical="center"/>
    </xf>
    <xf numFmtId="0" fontId="7" fillId="0" borderId="0" xfId="0" applyFont="1" applyAlignment="1">
      <alignment horizontal="left" vertical="top" wrapText="1"/>
    </xf>
    <xf numFmtId="0" fontId="7" fillId="0" borderId="0" xfId="0" applyFont="1"/>
    <xf numFmtId="165" fontId="7" fillId="4" borderId="1" xfId="0" applyNumberFormat="1" applyFont="1" applyFill="1" applyBorder="1" applyAlignment="1">
      <alignment horizontal="right" vertical="center"/>
    </xf>
    <xf numFmtId="166" fontId="8" fillId="6" borderId="1" xfId="0" applyNumberFormat="1" applyFont="1" applyFill="1" applyBorder="1" applyAlignment="1">
      <alignment horizontal="right" vertical="center"/>
    </xf>
    <xf numFmtId="167" fontId="8" fillId="6" borderId="1" xfId="0" applyNumberFormat="1" applyFont="1" applyFill="1" applyBorder="1" applyAlignment="1">
      <alignment horizontal="right" vertical="center"/>
    </xf>
    <xf numFmtId="0" fontId="5" fillId="7" borderId="0" xfId="0" applyFont="1" applyFill="1" applyAlignment="1">
      <alignment horizontal="left" vertical="center" wrapText="1"/>
    </xf>
    <xf numFmtId="164" fontId="5" fillId="7" borderId="1" xfId="0" applyNumberFormat="1" applyFont="1" applyFill="1" applyBorder="1" applyAlignment="1">
      <alignment horizontal="right" vertical="center"/>
    </xf>
    <xf numFmtId="164" fontId="7" fillId="7" borderId="1" xfId="0" applyNumberFormat="1" applyFont="1" applyFill="1" applyBorder="1" applyAlignment="1">
      <alignment horizontal="right" vertical="center"/>
    </xf>
    <xf numFmtId="2" fontId="8" fillId="6" borderId="1" xfId="0" applyNumberFormat="1" applyFont="1" applyFill="1" applyBorder="1" applyAlignment="1">
      <alignment horizontal="right" vertical="center"/>
    </xf>
    <xf numFmtId="0" fontId="5" fillId="8" borderId="0" xfId="0" applyFont="1" applyFill="1" applyAlignment="1">
      <alignment horizontal="left" vertical="center" wrapText="1"/>
    </xf>
    <xf numFmtId="164" fontId="5" fillId="8" borderId="1" xfId="0" applyNumberFormat="1" applyFont="1" applyFill="1" applyBorder="1" applyAlignment="1">
      <alignment horizontal="right" vertical="center"/>
    </xf>
    <xf numFmtId="0" fontId="5" fillId="9" borderId="0" xfId="0" applyFont="1" applyFill="1" applyAlignment="1">
      <alignment horizontal="left" vertical="center" wrapText="1"/>
    </xf>
    <xf numFmtId="164" fontId="5" fillId="9" borderId="1" xfId="0" applyNumberFormat="1" applyFont="1" applyFill="1" applyBorder="1" applyAlignment="1">
      <alignment horizontal="right" vertical="center"/>
    </xf>
    <xf numFmtId="168" fontId="5" fillId="4" borderId="1" xfId="0" applyNumberFormat="1" applyFont="1" applyFill="1" applyBorder="1" applyAlignment="1">
      <alignment horizontal="right" vertical="center"/>
    </xf>
    <xf numFmtId="169" fontId="6" fillId="5" borderId="1" xfId="0" applyNumberFormat="1" applyFont="1" applyFill="1" applyBorder="1" applyAlignment="1">
      <alignment horizontal="right" vertical="center"/>
    </xf>
    <xf numFmtId="0" fontId="5" fillId="4" borderId="0" xfId="0" applyFont="1" applyFill="1" applyAlignment="1">
      <alignment horizontal="center" vertical="center" wrapText="1"/>
    </xf>
    <xf numFmtId="0" fontId="0" fillId="4" borderId="0" xfId="0" applyFill="1"/>
    <xf numFmtId="170" fontId="6" fillId="5" borderId="1" xfId="0" applyNumberFormat="1" applyFont="1" applyFill="1" applyBorder="1" applyAlignment="1">
      <alignment horizontal="right" vertical="center"/>
    </xf>
    <xf numFmtId="167" fontId="7"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CE6"/>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FFF2CC"/>
      <rgbColor rgb="FFFFE699"/>
      <rgbColor rgb="FF99CCFF"/>
      <rgbColor rgb="FFFF99CC"/>
      <rgbColor rgb="FFCC99FF"/>
      <rgbColor rgb="FFF4B08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tabSelected="1" zoomScaleNormal="100" workbookViewId="0">
      <selection activeCell="A15" sqref="A15"/>
    </sheetView>
  </sheetViews>
  <sheetFormatPr defaultColWidth="8.6640625" defaultRowHeight="14.4"/>
  <cols>
    <col min="1" max="1" width="38" customWidth="1"/>
    <col min="2" max="2" width="14" customWidth="1"/>
    <col min="3" max="3" width="6" customWidth="1"/>
    <col min="4" max="4" width="38" customWidth="1"/>
    <col min="5" max="6" width="14" customWidth="1"/>
    <col min="7" max="7" width="45.21875" bestFit="1" customWidth="1"/>
  </cols>
  <sheetData>
    <row r="1" spans="1:7" ht="25.5" customHeight="1">
      <c r="A1" s="7" t="s">
        <v>0</v>
      </c>
      <c r="B1" s="7"/>
      <c r="C1" s="7"/>
      <c r="D1" s="7"/>
      <c r="E1" s="7"/>
      <c r="F1" s="7"/>
      <c r="G1" s="7"/>
    </row>
    <row r="2" spans="1:7" ht="30.6" customHeight="1">
      <c r="A2" s="6" t="s">
        <v>1</v>
      </c>
      <c r="B2" s="6"/>
      <c r="C2" s="6"/>
      <c r="D2" s="6"/>
      <c r="E2" s="6"/>
      <c r="F2" s="6"/>
      <c r="G2" s="6"/>
    </row>
    <row r="4" spans="1:7" ht="19.5" customHeight="1">
      <c r="A4" s="5" t="s">
        <v>2</v>
      </c>
      <c r="B4" s="5"/>
      <c r="D4" s="5" t="s">
        <v>3</v>
      </c>
      <c r="E4" s="5"/>
      <c r="F4" s="5"/>
      <c r="G4" s="5"/>
    </row>
    <row r="5" spans="1:7" ht="25.5" customHeight="1">
      <c r="A5" s="4" t="s">
        <v>4</v>
      </c>
      <c r="B5" s="4"/>
      <c r="D5" s="8" t="s">
        <v>5</v>
      </c>
      <c r="E5" s="10" t="s">
        <v>6</v>
      </c>
      <c r="F5" s="10" t="s">
        <v>7</v>
      </c>
      <c r="G5" s="8" t="s">
        <v>8</v>
      </c>
    </row>
    <row r="6" spans="1:7" ht="15.75" customHeight="1">
      <c r="A6" s="11" t="s">
        <v>9</v>
      </c>
      <c r="B6" s="12">
        <v>2000000</v>
      </c>
      <c r="D6" s="3" t="s">
        <v>10</v>
      </c>
      <c r="E6" s="3"/>
      <c r="F6" s="3"/>
      <c r="G6" s="3"/>
    </row>
    <row r="7" spans="1:7" ht="15.75" customHeight="1">
      <c r="A7" s="14" t="s">
        <v>11</v>
      </c>
      <c r="B7" s="15">
        <v>100</v>
      </c>
      <c r="D7" s="14" t="s">
        <v>12</v>
      </c>
      <c r="E7" s="16">
        <f>B14</f>
        <v>50000</v>
      </c>
      <c r="F7" s="16">
        <f>B14</f>
        <v>50000</v>
      </c>
      <c r="G7" s="17" t="s">
        <v>13</v>
      </c>
    </row>
    <row r="8" spans="1:7" ht="15.75" customHeight="1">
      <c r="A8" s="18" t="s">
        <v>14</v>
      </c>
      <c r="B8" s="19">
        <f>B6/B7</f>
        <v>20000</v>
      </c>
      <c r="D8" s="14" t="s">
        <v>15</v>
      </c>
      <c r="E8" s="16">
        <f>B24</f>
        <v>100000</v>
      </c>
      <c r="F8" s="16">
        <f>B24</f>
        <v>100000</v>
      </c>
      <c r="G8" s="17" t="s">
        <v>16</v>
      </c>
    </row>
    <row r="9" spans="1:7" ht="15.75" customHeight="1">
      <c r="A9" s="4" t="s">
        <v>17</v>
      </c>
      <c r="B9" s="4"/>
      <c r="D9" s="14" t="s">
        <v>18</v>
      </c>
      <c r="E9" s="16">
        <f>B25</f>
        <v>300000</v>
      </c>
      <c r="F9" s="16">
        <f>B25</f>
        <v>300000</v>
      </c>
      <c r="G9" s="17" t="s">
        <v>19</v>
      </c>
    </row>
    <row r="10" spans="1:7" ht="15.75" customHeight="1">
      <c r="A10" s="14" t="s">
        <v>20</v>
      </c>
      <c r="B10" s="20">
        <v>7.1</v>
      </c>
      <c r="D10" s="14" t="s">
        <v>21</v>
      </c>
      <c r="E10" s="16">
        <f>B17</f>
        <v>8000</v>
      </c>
      <c r="F10" s="16">
        <f>B17</f>
        <v>8000</v>
      </c>
      <c r="G10" s="17" t="s">
        <v>22</v>
      </c>
    </row>
    <row r="11" spans="1:7" ht="26.4">
      <c r="A11" s="14" t="s">
        <v>23</v>
      </c>
      <c r="B11" s="21">
        <v>0.06</v>
      </c>
      <c r="D11" s="14" t="s">
        <v>24</v>
      </c>
      <c r="E11" s="16">
        <f>B18</f>
        <v>80000</v>
      </c>
      <c r="F11" s="16">
        <f>B18</f>
        <v>80000</v>
      </c>
      <c r="G11" s="17" t="s">
        <v>25</v>
      </c>
    </row>
    <row r="12" spans="1:7" ht="15.75" customHeight="1">
      <c r="A12" s="14" t="s">
        <v>26</v>
      </c>
      <c r="B12" s="21">
        <v>0.112</v>
      </c>
      <c r="D12" s="22" t="s">
        <v>27</v>
      </c>
      <c r="E12" s="23">
        <f>SUM(E7:E11)</f>
        <v>538000</v>
      </c>
      <c r="F12" s="23">
        <f>SUM(F7:F11)</f>
        <v>538000</v>
      </c>
      <c r="G12" s="17" t="s">
        <v>28</v>
      </c>
    </row>
    <row r="13" spans="1:7" ht="15.75" customHeight="1">
      <c r="A13" s="4" t="s">
        <v>29</v>
      </c>
      <c r="B13" s="4"/>
      <c r="D13" s="3" t="s">
        <v>30</v>
      </c>
      <c r="E13" s="3"/>
      <c r="F13" s="3"/>
      <c r="G13" s="3"/>
    </row>
    <row r="14" spans="1:7" ht="15.75" customHeight="1">
      <c r="A14" s="14" t="s">
        <v>31</v>
      </c>
      <c r="B14" s="15">
        <v>50000</v>
      </c>
      <c r="D14" s="14" t="s">
        <v>32</v>
      </c>
      <c r="E14" s="16">
        <f>B16</f>
        <v>60000</v>
      </c>
      <c r="F14" s="16">
        <f>B16</f>
        <v>60000</v>
      </c>
      <c r="G14" s="17" t="s">
        <v>33</v>
      </c>
    </row>
    <row r="15" spans="1:7" ht="15.75" customHeight="1">
      <c r="A15" s="14" t="s">
        <v>34</v>
      </c>
      <c r="B15" s="21">
        <v>0.04</v>
      </c>
      <c r="D15" s="14" t="s">
        <v>35</v>
      </c>
      <c r="E15" s="16">
        <f>B19</f>
        <v>120000</v>
      </c>
      <c r="F15" s="16">
        <f>B19</f>
        <v>120000</v>
      </c>
      <c r="G15" s="17" t="s">
        <v>36</v>
      </c>
    </row>
    <row r="16" spans="1:7" ht="15.75" customHeight="1">
      <c r="A16" s="14" t="s">
        <v>37</v>
      </c>
      <c r="B16" s="15">
        <v>60000</v>
      </c>
      <c r="D16" s="14" t="s">
        <v>38</v>
      </c>
      <c r="E16" s="24">
        <f>B6*B31/B32</f>
        <v>533333.33333333337</v>
      </c>
      <c r="F16" s="24">
        <f>B6*B31/B33</f>
        <v>266666.66666666669</v>
      </c>
      <c r="G16" s="17" t="s">
        <v>39</v>
      </c>
    </row>
    <row r="17" spans="1:7" ht="21" customHeight="1">
      <c r="A17" s="14" t="s">
        <v>40</v>
      </c>
      <c r="B17" s="15">
        <v>8000</v>
      </c>
      <c r="D17" s="14" t="s">
        <v>41</v>
      </c>
      <c r="E17" s="16">
        <f>E16*B34</f>
        <v>80000</v>
      </c>
      <c r="F17" s="16">
        <f>F16*B34</f>
        <v>40000</v>
      </c>
      <c r="G17" s="17" t="s">
        <v>42</v>
      </c>
    </row>
    <row r="18" spans="1:7" ht="24.6" customHeight="1">
      <c r="A18" s="14" t="s">
        <v>24</v>
      </c>
      <c r="B18" s="15">
        <v>80000</v>
      </c>
      <c r="D18" s="14" t="s">
        <v>43</v>
      </c>
      <c r="E18" s="16">
        <f>B6*B21*B22</f>
        <v>320000</v>
      </c>
      <c r="F18" s="16">
        <f>B6*B21*B22</f>
        <v>320000</v>
      </c>
      <c r="G18" s="17" t="s">
        <v>44</v>
      </c>
    </row>
    <row r="19" spans="1:7" ht="20.399999999999999" customHeight="1">
      <c r="A19" s="14" t="s">
        <v>45</v>
      </c>
      <c r="B19" s="15">
        <v>120000</v>
      </c>
      <c r="D19" s="14" t="s">
        <v>46</v>
      </c>
      <c r="E19" s="16">
        <f>B6*B15</f>
        <v>80000</v>
      </c>
      <c r="F19" s="16">
        <f>B6*B15</f>
        <v>80000</v>
      </c>
      <c r="G19" s="17" t="s">
        <v>47</v>
      </c>
    </row>
    <row r="20" spans="1:7" ht="15.75" customHeight="1">
      <c r="A20" s="4" t="s">
        <v>48</v>
      </c>
      <c r="B20" s="4"/>
      <c r="D20" s="2" t="s">
        <v>49</v>
      </c>
      <c r="E20" s="2"/>
      <c r="F20" s="2"/>
      <c r="G20" s="2"/>
    </row>
    <row r="21" spans="1:7" ht="15.75" customHeight="1">
      <c r="A21" s="14" t="s">
        <v>50</v>
      </c>
      <c r="B21" s="21">
        <v>0.8</v>
      </c>
      <c r="D21" s="14" t="s">
        <v>51</v>
      </c>
      <c r="E21" s="16">
        <f>(B6/B7)*B26*2</f>
        <v>32000</v>
      </c>
      <c r="F21" s="16">
        <f>(B6/B7)*B26*2</f>
        <v>32000</v>
      </c>
      <c r="G21" s="17" t="s">
        <v>52</v>
      </c>
    </row>
    <row r="22" spans="1:7" ht="15.75" customHeight="1">
      <c r="A22" s="14" t="s">
        <v>53</v>
      </c>
      <c r="B22" s="21">
        <v>0.2</v>
      </c>
      <c r="D22" s="14" t="s">
        <v>54</v>
      </c>
      <c r="E22" s="16">
        <f>(B6/B7)*B27</f>
        <v>220000</v>
      </c>
      <c r="F22" s="16">
        <f>(B6/B7)*B27</f>
        <v>220000</v>
      </c>
      <c r="G22" s="17" t="s">
        <v>55</v>
      </c>
    </row>
    <row r="23" spans="1:7" ht="15.75" customHeight="1">
      <c r="A23" s="4" t="s">
        <v>56</v>
      </c>
      <c r="B23" s="4"/>
      <c r="D23" s="14" t="s">
        <v>57</v>
      </c>
      <c r="E23" s="16">
        <f>(B6/B7)*B28*B29</f>
        <v>15000</v>
      </c>
      <c r="F23" s="16">
        <f>(B6/B7)*B28*B29</f>
        <v>15000</v>
      </c>
      <c r="G23" s="17" t="s">
        <v>58</v>
      </c>
    </row>
    <row r="24" spans="1:7" ht="39.6">
      <c r="A24" s="14" t="s">
        <v>15</v>
      </c>
      <c r="B24" s="15">
        <v>100000</v>
      </c>
      <c r="D24" s="14" t="s">
        <v>59</v>
      </c>
      <c r="E24" s="16">
        <f>B6*B12</f>
        <v>224000</v>
      </c>
      <c r="F24" s="16">
        <f>B6*B12</f>
        <v>224000</v>
      </c>
      <c r="G24" s="17" t="s">
        <v>60</v>
      </c>
    </row>
    <row r="25" spans="1:7" ht="39.6">
      <c r="A25" s="14" t="s">
        <v>18</v>
      </c>
      <c r="B25" s="15">
        <v>300000</v>
      </c>
      <c r="D25" s="14" t="s">
        <v>61</v>
      </c>
      <c r="E25" s="16">
        <f>(B16+B19+B6*B15+E16*B34)*B11</f>
        <v>20400</v>
      </c>
      <c r="F25" s="16">
        <f>(B16+B19+B6*B15+F16*B34)*B11</f>
        <v>18000</v>
      </c>
      <c r="G25" s="17" t="s">
        <v>62</v>
      </c>
    </row>
    <row r="26" spans="1:7" ht="15.75" customHeight="1">
      <c r="A26" s="14" t="s">
        <v>63</v>
      </c>
      <c r="B26" s="25">
        <v>0.8</v>
      </c>
      <c r="D26" s="22" t="s">
        <v>64</v>
      </c>
      <c r="E26" s="23">
        <f>SUM(E14:E25)</f>
        <v>1704733.3333333335</v>
      </c>
      <c r="F26" s="23">
        <f>SUM(F14:F25)</f>
        <v>1395666.6666666667</v>
      </c>
      <c r="G26" s="17" t="s">
        <v>65</v>
      </c>
    </row>
    <row r="27" spans="1:7" ht="15.75" customHeight="1">
      <c r="A27" s="14" t="s">
        <v>66</v>
      </c>
      <c r="B27" s="25">
        <v>11</v>
      </c>
      <c r="D27" s="26" t="s">
        <v>67</v>
      </c>
      <c r="E27" s="27">
        <f>E12+E26</f>
        <v>2242733.3333333335</v>
      </c>
      <c r="F27" s="27">
        <f>F12+F26</f>
        <v>1933666.6666666667</v>
      </c>
      <c r="G27" s="17" t="s">
        <v>68</v>
      </c>
    </row>
    <row r="28" spans="1:7" ht="15.75" customHeight="1">
      <c r="A28" s="14" t="s">
        <v>69</v>
      </c>
      <c r="B28" s="21">
        <v>0.05</v>
      </c>
      <c r="D28" s="14" t="s">
        <v>70</v>
      </c>
      <c r="E28" s="16">
        <f>B14+B24+B25</f>
        <v>450000</v>
      </c>
      <c r="F28" s="16">
        <f>B14+B24+B25</f>
        <v>450000</v>
      </c>
      <c r="G28" s="17" t="s">
        <v>71</v>
      </c>
    </row>
    <row r="29" spans="1:7" ht="15.75" customHeight="1">
      <c r="A29" s="14" t="s">
        <v>72</v>
      </c>
      <c r="B29" s="25">
        <v>15</v>
      </c>
      <c r="D29" s="28" t="s">
        <v>73</v>
      </c>
      <c r="E29" s="29">
        <f>E27-E28</f>
        <v>1792733.3333333335</v>
      </c>
      <c r="F29" s="29">
        <f>F27-F28</f>
        <v>1483666.6666666667</v>
      </c>
      <c r="G29" s="17" t="s">
        <v>74</v>
      </c>
    </row>
    <row r="30" spans="1:7" ht="15.75" customHeight="1">
      <c r="A30" s="4" t="s">
        <v>75</v>
      </c>
      <c r="B30" s="4"/>
      <c r="D30" s="13" t="s">
        <v>76</v>
      </c>
      <c r="E30" s="30">
        <f>E27/B10</f>
        <v>315877.93427230051</v>
      </c>
      <c r="F30" s="30">
        <f>F27/B10</f>
        <v>272347.41784037562</v>
      </c>
      <c r="G30" s="17" t="s">
        <v>77</v>
      </c>
    </row>
    <row r="31" spans="1:7" ht="15.75" customHeight="1">
      <c r="A31" s="14" t="s">
        <v>78</v>
      </c>
      <c r="B31" s="21">
        <v>0.4</v>
      </c>
    </row>
    <row r="32" spans="1:7" ht="15.75" customHeight="1">
      <c r="A32" s="11" t="s">
        <v>79</v>
      </c>
      <c r="B32" s="31">
        <v>1.5</v>
      </c>
    </row>
    <row r="33" spans="1:7" ht="15.75" customHeight="1">
      <c r="A33" s="11" t="s">
        <v>80</v>
      </c>
      <c r="B33" s="31">
        <v>3</v>
      </c>
    </row>
    <row r="34" spans="1:7" ht="15.75" customHeight="1">
      <c r="A34" s="14" t="s">
        <v>41</v>
      </c>
      <c r="B34" s="21">
        <v>0.15</v>
      </c>
    </row>
    <row r="37" spans="1:7" ht="19.5" customHeight="1">
      <c r="A37" s="5" t="s">
        <v>81</v>
      </c>
      <c r="B37" s="5"/>
      <c r="C37" s="5"/>
      <c r="D37" s="5"/>
      <c r="E37" s="5"/>
      <c r="F37" s="5"/>
      <c r="G37" s="5"/>
    </row>
    <row r="38" spans="1:7">
      <c r="A38" s="9" t="s">
        <v>82</v>
      </c>
      <c r="B38" s="32" t="s">
        <v>83</v>
      </c>
      <c r="C38" s="33"/>
      <c r="D38" s="9" t="s">
        <v>82</v>
      </c>
      <c r="E38" s="32" t="s">
        <v>83</v>
      </c>
      <c r="F38" s="32" t="s">
        <v>84</v>
      </c>
      <c r="G38" s="9" t="s">
        <v>85</v>
      </c>
    </row>
    <row r="39" spans="1:7" ht="26.4">
      <c r="A39" s="11" t="s">
        <v>86</v>
      </c>
      <c r="B39" s="34"/>
      <c r="D39" s="14" t="s">
        <v>87</v>
      </c>
      <c r="E39" s="35">
        <f>E27/B6</f>
        <v>1.1213666666666668</v>
      </c>
      <c r="F39" s="35">
        <f>F27/B6</f>
        <v>0.96683333333333332</v>
      </c>
      <c r="G39" s="17" t="s">
        <v>88</v>
      </c>
    </row>
    <row r="40" spans="1:7" ht="39.6">
      <c r="A40" s="14" t="s">
        <v>89</v>
      </c>
      <c r="B40" s="16" t="str">
        <f>IF(B39="","",B6*B39)</f>
        <v/>
      </c>
      <c r="D40" s="14" t="s">
        <v>90</v>
      </c>
      <c r="E40" s="35">
        <f>E26/B6</f>
        <v>0.85236666666666672</v>
      </c>
      <c r="F40" s="35">
        <f>F26/B6</f>
        <v>0.69783333333333342</v>
      </c>
      <c r="G40" s="17" t="s">
        <v>91</v>
      </c>
    </row>
    <row r="41" spans="1:7" ht="39.6">
      <c r="A41" s="14" t="s">
        <v>92</v>
      </c>
      <c r="B41" s="23" t="str">
        <f>IF(B39="","",B40-E27)</f>
        <v/>
      </c>
      <c r="D41" s="11" t="s">
        <v>93</v>
      </c>
      <c r="E41" s="23" t="str">
        <f>IF(B39="","",IF(B39-E26/B6&lt;=0,"GM too low",E12/(B39-E26/B6)))</f>
        <v/>
      </c>
      <c r="F41" s="23" t="str">
        <f>IF(B39="","",IF(B39-F26/B6&lt;=0,"GM too low",F12/(B39-F26/B6)))</f>
        <v/>
      </c>
      <c r="G41" s="17" t="s">
        <v>94</v>
      </c>
    </row>
    <row r="42" spans="1:7" ht="26.4">
      <c r="A42" s="14" t="s">
        <v>95</v>
      </c>
      <c r="B42" s="23" t="str">
        <f>IF(B39="","",B40-F27)</f>
        <v/>
      </c>
      <c r="D42" s="14" t="s">
        <v>96</v>
      </c>
      <c r="E42" s="16">
        <f>E27/(B6/B7)</f>
        <v>112.13666666666667</v>
      </c>
      <c r="F42" s="16">
        <f>F27/(B6/B7)</f>
        <v>96.683333333333337</v>
      </c>
      <c r="G42" s="17" t="s">
        <v>97</v>
      </c>
    </row>
    <row r="44" spans="1:7" ht="15" customHeight="1">
      <c r="A44" s="5" t="s">
        <v>98</v>
      </c>
      <c r="B44" s="5"/>
      <c r="C44" s="5"/>
      <c r="D44" s="5"/>
      <c r="E44" s="5"/>
      <c r="F44" s="5"/>
      <c r="G44" s="5"/>
    </row>
    <row r="45" spans="1:7" ht="24" customHeight="1">
      <c r="A45" s="1" t="s">
        <v>99</v>
      </c>
      <c r="B45" s="1"/>
      <c r="C45" s="1"/>
      <c r="D45" s="1"/>
      <c r="E45" s="1"/>
      <c r="F45" s="1"/>
      <c r="G45" s="1"/>
    </row>
    <row r="46" spans="1:7" ht="24" customHeight="1">
      <c r="A46" s="1" t="s">
        <v>100</v>
      </c>
      <c r="B46" s="1"/>
      <c r="C46" s="1"/>
      <c r="D46" s="1"/>
      <c r="E46" s="1"/>
      <c r="F46" s="1"/>
      <c r="G46" s="1"/>
    </row>
    <row r="47" spans="1:7" ht="24" customHeight="1">
      <c r="A47" s="1" t="s">
        <v>101</v>
      </c>
      <c r="B47" s="1"/>
      <c r="C47" s="1"/>
      <c r="D47" s="1"/>
      <c r="E47" s="1"/>
      <c r="F47" s="1"/>
      <c r="G47" s="1"/>
    </row>
    <row r="48" spans="1:7" ht="24" customHeight="1">
      <c r="A48" s="1" t="s">
        <v>102</v>
      </c>
      <c r="B48" s="1"/>
      <c r="C48" s="1"/>
      <c r="D48" s="1"/>
      <c r="E48" s="1"/>
      <c r="F48" s="1"/>
      <c r="G48" s="1"/>
    </row>
    <row r="49" spans="1:7" ht="24" customHeight="1">
      <c r="A49" s="1" t="s">
        <v>103</v>
      </c>
      <c r="B49" s="1"/>
      <c r="C49" s="1"/>
      <c r="D49" s="1"/>
      <c r="E49" s="1"/>
      <c r="F49" s="1"/>
      <c r="G49" s="1"/>
    </row>
    <row r="50" spans="1:7" ht="24" customHeight="1">
      <c r="A50" s="1" t="s">
        <v>104</v>
      </c>
      <c r="B50" s="1"/>
      <c r="C50" s="1"/>
      <c r="D50" s="1"/>
      <c r="E50" s="1"/>
      <c r="F50" s="1"/>
      <c r="G50" s="1"/>
    </row>
    <row r="51" spans="1:7" ht="24" customHeight="1">
      <c r="A51" s="1" t="s">
        <v>105</v>
      </c>
      <c r="B51" s="1"/>
      <c r="C51" s="1"/>
      <c r="D51" s="1"/>
      <c r="E51" s="1"/>
      <c r="F51" s="1"/>
      <c r="G51" s="1"/>
    </row>
  </sheetData>
  <mergeCells count="22">
    <mergeCell ref="A51:G51"/>
    <mergeCell ref="A46:G46"/>
    <mergeCell ref="A47:G47"/>
    <mergeCell ref="A48:G48"/>
    <mergeCell ref="A49:G49"/>
    <mergeCell ref="A50:G50"/>
    <mergeCell ref="A23:B23"/>
    <mergeCell ref="A30:B30"/>
    <mergeCell ref="A37:G37"/>
    <mergeCell ref="A44:G44"/>
    <mergeCell ref="A45:G45"/>
    <mergeCell ref="D6:G6"/>
    <mergeCell ref="A9:B9"/>
    <mergeCell ref="A13:B13"/>
    <mergeCell ref="D13:G13"/>
    <mergeCell ref="A20:B20"/>
    <mergeCell ref="D20:G20"/>
    <mergeCell ref="A1:G1"/>
    <mergeCell ref="A2:G2"/>
    <mergeCell ref="A4:B4"/>
    <mergeCell ref="D4:G4"/>
    <mergeCell ref="A5:B5"/>
  </mergeCells>
  <printOptions horizontalCentered="1"/>
  <pageMargins left="0.4" right="0.4" top="0.4" bottom="0.4" header="0.511811023622047" footer="0.511811023622047"/>
  <pageSetup paperSize="9"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1FE43E2521C14DB52FE7C4725302F3" ma:contentTypeVersion="11" ma:contentTypeDescription="Create a new document." ma:contentTypeScope="" ma:versionID="957b549aca28418765711cb08b79fbf2">
  <xsd:schema xmlns:xsd="http://www.w3.org/2001/XMLSchema" xmlns:xs="http://www.w3.org/2001/XMLSchema" xmlns:p="http://schemas.microsoft.com/office/2006/metadata/properties" xmlns:ns2="5fe9c1d8-ee2b-48a1-b531-453a7b64932d" xmlns:ns3="ef359b3b-6355-4906-bda7-3ddc94f524f8" targetNamespace="http://schemas.microsoft.com/office/2006/metadata/properties" ma:root="true" ma:fieldsID="f79c9fd5503c54abfab129238e7da227" ns2:_="" ns3:_="">
    <xsd:import namespace="5fe9c1d8-ee2b-48a1-b531-453a7b64932d"/>
    <xsd:import namespace="ef359b3b-6355-4906-bda7-3ddc94f524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e9c1d8-ee2b-48a1-b531-453a7b649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d3da5d1-0c1c-425c-976c-ec56cbf11f6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359b3b-6355-4906-bda7-3ddc94f524f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40cfbb7-33fd-4bb3-91ab-dd489b629414}" ma:internalName="TaxCatchAll" ma:showField="CatchAllData" ma:web="ef359b3b-6355-4906-bda7-3ddc94f524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e9c1d8-ee2b-48a1-b531-453a7b64932d">
      <Terms xmlns="http://schemas.microsoft.com/office/infopath/2007/PartnerControls"/>
    </lcf76f155ced4ddcb4097134ff3c332f>
    <TaxCatchAll xmlns="ef359b3b-6355-4906-bda7-3ddc94f524f8" xsi:nil="true"/>
  </documentManagement>
</p:properties>
</file>

<file path=customXml/itemProps1.xml><?xml version="1.0" encoding="utf-8"?>
<ds:datastoreItem xmlns:ds="http://schemas.openxmlformats.org/officeDocument/2006/customXml" ds:itemID="{BC889AF6-CBBC-4182-B285-1F70FF4169E2}"/>
</file>

<file path=customXml/itemProps2.xml><?xml version="1.0" encoding="utf-8"?>
<ds:datastoreItem xmlns:ds="http://schemas.openxmlformats.org/officeDocument/2006/customXml" ds:itemID="{9EB6ACFA-713F-4543-A18E-763B87EEA0CE}"/>
</file>

<file path=customXml/itemProps3.xml><?xml version="1.0" encoding="utf-8"?>
<ds:datastoreItem xmlns:ds="http://schemas.openxmlformats.org/officeDocument/2006/customXml" ds:itemID="{943E6472-DCD9-43DC-A12E-51B45C38C376}"/>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Douyin DP One-Pager</vt:lpstr>
      <vt:lpstr>'Douyin DP One-Pager'!Print_Area</vt:lpstr>
      <vt:lpstr>'Douyin DP One-Pager'!Print_Titles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Cyril Drouin</cp:lastModifiedBy>
  <cp:revision>0</cp:revision>
  <dcterms:created xsi:type="dcterms:W3CDTF">2026-05-18T06:52:43Z</dcterms:created>
  <dcterms:modified xsi:type="dcterms:W3CDTF">2026-05-18T06:57:02Z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0x010100631FE43E2521C14DB52FE7C4725302F3</vt:lpwstr>
  </property>
</Properties>
</file>